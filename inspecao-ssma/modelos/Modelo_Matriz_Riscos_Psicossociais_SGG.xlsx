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ção Psicossocial" sheetId="1" r:id="rId4"/>
    <sheet state="visible" name="Matriz 5x5" sheetId="2" r:id="rId5"/>
    <sheet state="visible" name="Critérios &amp; Escalas" sheetId="3" r:id="rId6"/>
  </sheets>
  <definedNames/>
  <calcPr/>
</workbook>
</file>

<file path=xl/sharedStrings.xml><?xml version="1.0" encoding="utf-8"?>
<sst xmlns="http://schemas.openxmlformats.org/spreadsheetml/2006/main" count="105" uniqueCount="95">
  <si>
    <t>Matriz de Riscos Psicossociais — Avaliação por setor, cargo ou GHE (NR-1)</t>
  </si>
  <si>
    <t>#</t>
  </si>
  <si>
    <t>Setor / Cargo / GHE</t>
  </si>
  <si>
    <t>Perigo psicossocial (fator de risco)</t>
  </si>
  <si>
    <t>Possível consequência</t>
  </si>
  <si>
    <t>Caracterização da exposição (atividade real)</t>
  </si>
  <si>
    <t>Medidas de prevenção já existentes</t>
  </si>
  <si>
    <t>Severidade (1-5)</t>
  </si>
  <si>
    <t>Probabilidade (1-5)</t>
  </si>
  <si>
    <t>Nível de Risco</t>
  </si>
  <si>
    <t>Classificação</t>
  </si>
  <si>
    <t>Prioridade de ação</t>
  </si>
  <si>
    <t>Responsável</t>
  </si>
  <si>
    <t>Prazo</t>
  </si>
  <si>
    <t>Atendimento ao cliente</t>
  </si>
  <si>
    <t>Excesso de demandas no trabalho (sobrecarga)</t>
  </si>
  <si>
    <t>Transtorno mental; DORT</t>
  </si>
  <si>
    <t>Volume excessivo de chamados, horas extras frequentes, supressão de pausas</t>
  </si>
  <si>
    <t>Nenhuma medida implementada</t>
  </si>
  <si>
    <t>Baixo controle no trabalho / falta de autonomia</t>
  </si>
  <si>
    <t>Transtorno mental</t>
  </si>
  <si>
    <t>Sem autonomia para priorizar tarefas ou pausas</t>
  </si>
  <si>
    <t>As colunas Nível de Risco, Classificação e Prioridade são calculadas automaticamente a partir de Severidade × Probabilidade. As duas primeiras linhas são exemplos — substitua pelos seus dados.</t>
  </si>
  <si>
    <t>Modelo SGG · alinhado à NR-1, NR-17 e ao Guia de Fatores de Riscos Psicossociais do MTE (2025). A avaliação recai sobre as condições de trabalho, não sobre a saúde individual do trabalhador.</t>
  </si>
  <si>
    <t>Matriz de Nível de Risco — Probabilidade × Severidade</t>
  </si>
  <si>
    <t>Probabilidade ↓ \ Severidade →</t>
  </si>
  <si>
    <t>Leve (1)</t>
  </si>
  <si>
    <t>Moderada (2)</t>
  </si>
  <si>
    <t>Grave (3)</t>
  </si>
  <si>
    <t>Muito Grave (4)</t>
  </si>
  <si>
    <t>Extrema (5)</t>
  </si>
  <si>
    <t>Muito Provável (5)</t>
  </si>
  <si>
    <t>Provável (4)</t>
  </si>
  <si>
    <t>Possível (3)</t>
  </si>
  <si>
    <t>Improvável (2)</t>
  </si>
  <si>
    <t>Muito Improvável (1)</t>
  </si>
  <si>
    <t>Legenda</t>
  </si>
  <si>
    <t>Baixo (1-5)</t>
  </si>
  <si>
    <t>Monitorar / manter</t>
  </si>
  <si>
    <t>Médio (6-10)</t>
  </si>
  <si>
    <t>Mitigar em médio prazo</t>
  </si>
  <si>
    <t>Alto (12-16)</t>
  </si>
  <si>
    <t>Ação estruturada de curto prazo</t>
  </si>
  <si>
    <t>Crítico (20-25)</t>
  </si>
  <si>
    <t>Intervenção imediata na organização do trabalho</t>
  </si>
  <si>
    <t>Critérios documentados — exigência da NR-1 (subitem 1.5.4.4.2.2)</t>
  </si>
  <si>
    <t>Gradação da Severidade — magnitude do agravo (seleciona-se a de maior magnitude)</t>
  </si>
  <si>
    <t>Nível</t>
  </si>
  <si>
    <t>Categoria</t>
  </si>
  <si>
    <t>Descrição</t>
  </si>
  <si>
    <t>Leve</t>
  </si>
  <si>
    <t>Desconforto passageiro, sem afastamento</t>
  </si>
  <si>
    <t>Moderada</t>
  </si>
  <si>
    <t>Estresse com sintomas reversíveis; tratamento conservador</t>
  </si>
  <si>
    <t>Grave</t>
  </si>
  <si>
    <t>Transtorno instalado; afastamento prolongado</t>
  </si>
  <si>
    <t>Muito Grave</t>
  </si>
  <si>
    <t>Burnout limitante; afastamento psiquiátrico crônico</t>
  </si>
  <si>
    <t>Morte / Incapacitação</t>
  </si>
  <si>
    <t>Surto grave; ideação ou ato suicida de etiologia laboral</t>
  </si>
  <si>
    <t>Gradação da Probabilidade — exigências da atividade × eficácia das medidas (NR-1 1.5.4.4.5.3)</t>
  </si>
  <si>
    <t>Como aferir</t>
  </si>
  <si>
    <t>Muito Improvável</t>
  </si>
  <si>
    <t>Fator estressor praticamente ausente; medidas eficazes e consolidadas</t>
  </si>
  <si>
    <t>Improvável</t>
  </si>
  <si>
    <t>Fator esporádico; medidas existentes e geralmente eficazes</t>
  </si>
  <si>
    <t>Possível</t>
  </si>
  <si>
    <t>Fator presente com regularidade; medidas parciais ou de eficácia incerta</t>
  </si>
  <si>
    <t>Provável</t>
  </si>
  <si>
    <t>Fator intenso e frequente na atividade; medidas insuficientes</t>
  </si>
  <si>
    <t>Muito Provável</t>
  </si>
  <si>
    <t>Fator contínuo e intenso; ausência de medidas ou medidas ineficazes</t>
  </si>
  <si>
    <t>Faixas de classificação do nível de risco</t>
  </si>
  <si>
    <t>Nível de risco (P×S)</t>
  </si>
  <si>
    <t>Ação</t>
  </si>
  <si>
    <t>1 a 5</t>
  </si>
  <si>
    <t>Baixo</t>
  </si>
  <si>
    <t>6 a 10</t>
  </si>
  <si>
    <t>Médio</t>
  </si>
  <si>
    <t>12 a 16</t>
  </si>
  <si>
    <t>Alto</t>
  </si>
  <si>
    <t>20 a 25</t>
  </si>
  <si>
    <t>Crítico</t>
  </si>
  <si>
    <t>Intervenção imediata</t>
  </si>
  <si>
    <t>Documentação dos critérios (preencher — exigido pela NR-1)</t>
  </si>
  <si>
    <t>Metodologia de avaliação adotada</t>
  </si>
  <si>
    <t>(ex.: matriz de probabilidade × consequência, conforme ABNT NBR ISO/IEC 31010)</t>
  </si>
  <si>
    <t>Método de identificação utilizado</t>
  </si>
  <si>
    <t>(ex.: AEP/AET, observação da atividade, questionário validado)</t>
  </si>
  <si>
    <t>Instrumento/questionário (se houver)</t>
  </si>
  <si>
    <t>(ex.: COPSOQ — versão brasileira; ou avaliação qualitativa)</t>
  </si>
  <si>
    <t>Unidade de análise</t>
  </si>
  <si>
    <t>(setor / cargo / função / GHE)</t>
  </si>
  <si>
    <t>Responsável técnico pela avaliação</t>
  </si>
  <si>
    <t>Data da avaliação / próxima revisão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</si>
</sst>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/>
      <name val="Arial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sz val="9.0"/>
      <name val="Arial"/>
    </font>
    <font>
      <i/>
      <sz val="9.0"/>
      <color rgb="FF6A7686"/>
      <name val="Arial"/>
    </font>
    <font>
      <i/>
      <sz val="8.0"/>
      <color rgb="FF9AA5B1"/>
      <name val="Arial"/>
    </font>
    <font>
      <b/>
      <sz val="11.0"/>
      <color rgb="FF000000"/>
      <name val="Arial"/>
    </font>
    <font>
      <b/>
      <sz val="11.0"/>
      <color rgb="FF3A2A00"/>
      <name val="Arial"/>
    </font>
    <font>
      <b/>
      <sz val="11.0"/>
      <color rgb="FFFFFFFF"/>
      <name val="Arial"/>
    </font>
    <font>
      <b/>
      <sz val="10.0"/>
      <color rgb="FF0B2545"/>
      <name val="Arial"/>
    </font>
    <font>
      <b/>
      <sz val="9.0"/>
      <color rgb="FF000000"/>
      <name val="Arial"/>
    </font>
    <font>
      <b/>
      <sz val="9.0"/>
      <color rgb="FF3A2A00"/>
      <name val="Arial"/>
    </font>
    <font>
      <b/>
      <sz val="11.0"/>
      <color rgb="FF0B2545"/>
      <name val="Arial"/>
    </font>
    <font>
      <b/>
      <sz val="9.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FF6B1A"/>
        <bgColor rgb="FFFF6B1A"/>
      </patternFill>
    </fill>
    <fill>
      <patternFill patternType="solid">
        <fgColor rgb="FFF7F7F4"/>
        <bgColor rgb="FFF7F7F4"/>
      </patternFill>
    </fill>
    <fill>
      <patternFill patternType="solid">
        <fgColor rgb="FFBBF7D0"/>
        <bgColor rgb="FFBBF7D0"/>
      </patternFill>
    </fill>
    <fill>
      <patternFill patternType="solid">
        <fgColor rgb="FFFDE68A"/>
        <bgColor rgb="FFFDE68A"/>
      </patternFill>
    </fill>
    <fill>
      <patternFill patternType="solid">
        <fgColor rgb="FFF59E0B"/>
        <bgColor rgb="FFF59E0B"/>
      </patternFill>
    </fill>
    <fill>
      <patternFill patternType="solid">
        <fgColor rgb="FFB3261E"/>
        <bgColor rgb="FFB3261E"/>
      </patternFill>
    </fill>
    <fill>
      <patternFill patternType="solid">
        <fgColor rgb="FFFFFDE7"/>
        <bgColor rgb="FFFFFDE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</border>
    <border>
      <left style="thin">
        <color rgb="FFD7DCE3"/>
      </left>
      <top style="thin">
        <color rgb="FFD7DCE3"/>
      </top>
      <bottom style="thin">
        <color rgb="FFD7DCE3"/>
      </bottom>
    </border>
    <border>
      <top style="thin">
        <color rgb="FFD7DCE3"/>
      </top>
      <bottom style="thin">
        <color rgb="FFD7DCE3"/>
      </bottom>
    </border>
    <border>
      <right style="thin">
        <color rgb="FFD7DCE3"/>
      </right>
      <top style="thin">
        <color rgb="FFD7DCE3"/>
      </top>
      <bottom style="thin">
        <color rgb="FFD7DCE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4" fontId="4" numFmtId="0" xfId="0" applyAlignment="1" applyBorder="1" applyFill="1" applyFont="1">
      <alignment horizontal="center" shrinkToFit="0" vertical="top" wrapText="1"/>
    </xf>
    <xf borderId="5" fillId="4" fontId="4" numFmtId="0" xfId="0" applyAlignment="1" applyBorder="1" applyFill="1" applyFont="1">
      <alignment horizontal="left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4" fillId="2" fontId="3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vertical="center"/>
    </xf>
    <xf borderId="5" fillId="6" fontId="7" numFmtId="0" xfId="0" applyAlignment="1" applyBorder="1" applyFill="1" applyFont="1">
      <alignment horizontal="center" vertical="center"/>
    </xf>
    <xf borderId="5" fillId="7" fontId="8" numFmtId="0" xfId="0" applyAlignment="1" applyBorder="1" applyFill="1" applyFont="1">
      <alignment horizontal="center" vertical="center"/>
    </xf>
    <xf borderId="5" fillId="8" fontId="9" numFmtId="0" xfId="0" applyAlignment="1" applyBorder="1" applyFill="1" applyFont="1">
      <alignment horizontal="center" vertical="center"/>
    </xf>
    <xf borderId="0" fillId="0" fontId="10" numFmtId="0" xfId="0" applyFont="1"/>
    <xf borderId="5" fillId="5" fontId="11" numFmtId="0" xfId="0" applyAlignment="1" applyBorder="1" applyFill="1" applyFont="1">
      <alignment horizontal="center"/>
    </xf>
    <xf borderId="0" fillId="0" fontId="4" numFmtId="0" xfId="0" applyFont="1"/>
    <xf borderId="5" fillId="6" fontId="11" numFmtId="0" xfId="0" applyAlignment="1" applyBorder="1" applyFill="1" applyFont="1">
      <alignment horizontal="center"/>
    </xf>
    <xf borderId="5" fillId="7" fontId="12" numFmtId="0" xfId="0" applyAlignment="1" applyBorder="1" applyFill="1" applyFont="1">
      <alignment horizontal="center"/>
    </xf>
    <xf borderId="5" fillId="8" fontId="3" numFmtId="0" xfId="0" applyAlignment="1" applyBorder="1" applyFill="1" applyFont="1">
      <alignment horizontal="center"/>
    </xf>
    <xf borderId="0" fillId="0" fontId="13" numFmtId="0" xfId="0" applyFont="1"/>
    <xf borderId="5" fillId="3" fontId="3" numFmtId="0" xfId="0" applyAlignment="1" applyBorder="1" applyFill="1" applyFont="1">
      <alignment horizontal="left" shrinkToFit="0" vertical="center" wrapText="1"/>
    </xf>
    <xf borderId="5" fillId="0" fontId="14" numFmtId="0" xfId="0" applyAlignment="1" applyBorder="1" applyFont="1">
      <alignment shrinkToFit="0" vertical="top" wrapText="1"/>
    </xf>
    <xf borderId="6" fillId="9" fontId="5" numFmtId="0" xfId="0" applyAlignment="1" applyBorder="1" applyFill="1" applyFont="1">
      <alignment shrinkToFit="0" vertical="top" wrapText="1"/>
    </xf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4">
    <dxf>
      <font>
        <b/>
        <sz val="9.0"/>
        <color rgb="FFFFFFFF"/>
        <name val="Arial"/>
      </font>
      <fill>
        <patternFill patternType="solid">
          <fgColor rgb="FFB3261E"/>
          <bgColor rgb="FFB3261E"/>
        </patternFill>
      </fill>
      <border/>
    </dxf>
    <dxf>
      <font>
        <b/>
        <sz val="9.0"/>
        <color rgb="FF3A2A00"/>
        <name val="Arial"/>
      </font>
      <fill>
        <patternFill patternType="solid">
          <fgColor rgb="FFF59E0B"/>
          <bgColor rgb="FFF59E0B"/>
        </patternFill>
      </fill>
      <border/>
    </dxf>
    <dxf>
      <font>
        <b/>
        <sz val="9.0"/>
        <color rgb="FF000000"/>
        <name val="Arial"/>
      </font>
      <fill>
        <patternFill patternType="solid">
          <fgColor rgb="FFFDE68A"/>
          <bgColor rgb="FFFDE68A"/>
        </patternFill>
      </fill>
      <border/>
    </dxf>
    <dxf>
      <font>
        <b/>
        <sz val="9.0"/>
        <color rgb="FF000000"/>
        <name val="Arial"/>
      </font>
      <fill>
        <patternFill patternType="solid">
          <fgColor rgb="FFBBF7D0"/>
          <bgColor rgb="FFBBF7D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20.0"/>
    <col customWidth="1" min="5" max="5" width="30.0"/>
    <col customWidth="1" min="6" max="6" width="28.0"/>
    <col customWidth="1" min="7" max="7" width="11.0"/>
    <col customWidth="1" min="8" max="8" width="12.0"/>
    <col customWidth="1" min="9" max="9" width="9.0"/>
    <col customWidth="1" min="10" max="10" width="12.0"/>
    <col customWidth="1" min="11" max="11" width="24.0"/>
    <col customWidth="1" min="12" max="12" width="16.0"/>
    <col customWidth="1" min="13" max="13" width="11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2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5">
        <v>1.0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5">
        <v>4.0</v>
      </c>
      <c r="H3" s="5">
        <v>4.0</v>
      </c>
      <c r="I3" s="5" t="str">
        <f t="shared" ref="I3:I22" si="1">IF(OR(G3="",H3=""),"",G3*H3)</f>
        <v>16</v>
      </c>
      <c r="J3" s="5" t="str">
        <f t="shared" ref="J3:J22" si="2">IF(I3="","",IF(I3&gt;=20,"Crítico",IF(I3&gt;=12,"Alto",IF(I3&gt;=6,"Médio","Baixo"))))</f>
        <v>Alto</v>
      </c>
      <c r="K3" s="5" t="str">
        <f t="shared" ref="K3:K22" si="3">IF(J3="","",IF(J3="Crítico","Intervenção imediata",IF(J3="Alto","Ação estruturada (curto prazo)",IF(J3="Médio","Mitigar (médio prazo)","Monitorar"))))</f>
        <v>Ação estruturada (curto prazo)</v>
      </c>
      <c r="L3" s="6"/>
      <c r="M3" s="5"/>
    </row>
    <row r="4">
      <c r="A4" s="7">
        <v>2.0</v>
      </c>
      <c r="B4" s="8" t="s">
        <v>14</v>
      </c>
      <c r="C4" s="8" t="s">
        <v>19</v>
      </c>
      <c r="D4" s="8" t="s">
        <v>20</v>
      </c>
      <c r="E4" s="8" t="s">
        <v>21</v>
      </c>
      <c r="F4" s="8" t="s">
        <v>18</v>
      </c>
      <c r="G4" s="7">
        <v>3.0</v>
      </c>
      <c r="H4" s="7">
        <v>4.0</v>
      </c>
      <c r="I4" s="7" t="str">
        <f t="shared" si="1"/>
        <v>12</v>
      </c>
      <c r="J4" s="5" t="str">
        <f t="shared" si="2"/>
        <v>Alto</v>
      </c>
      <c r="K4" s="7" t="str">
        <f t="shared" si="3"/>
        <v>Ação estruturada (curto prazo)</v>
      </c>
      <c r="L4" s="8"/>
      <c r="M4" s="7"/>
    </row>
    <row r="5">
      <c r="A5" s="5"/>
      <c r="B5" s="6"/>
      <c r="C5" s="6"/>
      <c r="D5" s="6"/>
      <c r="E5" s="6"/>
      <c r="F5" s="6"/>
      <c r="G5" s="5"/>
      <c r="H5" s="5"/>
      <c r="I5" s="5" t="str">
        <f t="shared" si="1"/>
        <v/>
      </c>
      <c r="J5" s="5" t="str">
        <f t="shared" si="2"/>
        <v/>
      </c>
      <c r="K5" s="5" t="str">
        <f t="shared" si="3"/>
        <v/>
      </c>
      <c r="L5" s="6"/>
      <c r="M5" s="5"/>
    </row>
    <row r="6">
      <c r="A6" s="7"/>
      <c r="B6" s="8"/>
      <c r="C6" s="8"/>
      <c r="D6" s="8"/>
      <c r="E6" s="8"/>
      <c r="F6" s="8"/>
      <c r="G6" s="7"/>
      <c r="H6" s="7"/>
      <c r="I6" s="7" t="str">
        <f t="shared" si="1"/>
        <v/>
      </c>
      <c r="J6" s="5" t="str">
        <f t="shared" si="2"/>
        <v/>
      </c>
      <c r="K6" s="7" t="str">
        <f t="shared" si="3"/>
        <v/>
      </c>
      <c r="L6" s="8"/>
      <c r="M6" s="7"/>
    </row>
    <row r="7">
      <c r="A7" s="5"/>
      <c r="B7" s="6"/>
      <c r="C7" s="6"/>
      <c r="D7" s="6"/>
      <c r="E7" s="6"/>
      <c r="F7" s="6"/>
      <c r="G7" s="5"/>
      <c r="H7" s="5"/>
      <c r="I7" s="5" t="str">
        <f t="shared" si="1"/>
        <v/>
      </c>
      <c r="J7" s="5" t="str">
        <f t="shared" si="2"/>
        <v/>
      </c>
      <c r="K7" s="5" t="str">
        <f t="shared" si="3"/>
        <v/>
      </c>
      <c r="L7" s="6"/>
      <c r="M7" s="5"/>
    </row>
    <row r="8">
      <c r="A8" s="7"/>
      <c r="B8" s="8"/>
      <c r="C8" s="8"/>
      <c r="D8" s="8"/>
      <c r="E8" s="8"/>
      <c r="F8" s="8"/>
      <c r="G8" s="7"/>
      <c r="H8" s="7"/>
      <c r="I8" s="7" t="str">
        <f t="shared" si="1"/>
        <v/>
      </c>
      <c r="J8" s="5" t="str">
        <f t="shared" si="2"/>
        <v/>
      </c>
      <c r="K8" s="7" t="str">
        <f t="shared" si="3"/>
        <v/>
      </c>
      <c r="L8" s="8"/>
      <c r="M8" s="7"/>
    </row>
    <row r="9">
      <c r="A9" s="5"/>
      <c r="B9" s="6"/>
      <c r="C9" s="6"/>
      <c r="D9" s="6"/>
      <c r="E9" s="6"/>
      <c r="F9" s="6"/>
      <c r="G9" s="5"/>
      <c r="H9" s="5"/>
      <c r="I9" s="5" t="str">
        <f t="shared" si="1"/>
        <v/>
      </c>
      <c r="J9" s="5" t="str">
        <f t="shared" si="2"/>
        <v/>
      </c>
      <c r="K9" s="5" t="str">
        <f t="shared" si="3"/>
        <v/>
      </c>
      <c r="L9" s="6"/>
      <c r="M9" s="5"/>
    </row>
    <row r="10">
      <c r="A10" s="7"/>
      <c r="B10" s="8"/>
      <c r="C10" s="8"/>
      <c r="D10" s="8"/>
      <c r="E10" s="8"/>
      <c r="F10" s="8"/>
      <c r="G10" s="7"/>
      <c r="H10" s="7"/>
      <c r="I10" s="7" t="str">
        <f t="shared" si="1"/>
        <v/>
      </c>
      <c r="J10" s="5" t="str">
        <f t="shared" si="2"/>
        <v/>
      </c>
      <c r="K10" s="7" t="str">
        <f t="shared" si="3"/>
        <v/>
      </c>
      <c r="L10" s="8"/>
      <c r="M10" s="7"/>
    </row>
    <row r="11">
      <c r="A11" s="5"/>
      <c r="B11" s="6"/>
      <c r="C11" s="6"/>
      <c r="D11" s="6"/>
      <c r="E11" s="6"/>
      <c r="F11" s="6"/>
      <c r="G11" s="5"/>
      <c r="H11" s="5"/>
      <c r="I11" s="5" t="str">
        <f t="shared" si="1"/>
        <v/>
      </c>
      <c r="J11" s="5" t="str">
        <f t="shared" si="2"/>
        <v/>
      </c>
      <c r="K11" s="5" t="str">
        <f t="shared" si="3"/>
        <v/>
      </c>
      <c r="L11" s="6"/>
      <c r="M11" s="5"/>
    </row>
    <row r="12">
      <c r="A12" s="7"/>
      <c r="B12" s="8"/>
      <c r="C12" s="8"/>
      <c r="D12" s="8"/>
      <c r="E12" s="8"/>
      <c r="F12" s="8"/>
      <c r="G12" s="7"/>
      <c r="H12" s="7"/>
      <c r="I12" s="7" t="str">
        <f t="shared" si="1"/>
        <v/>
      </c>
      <c r="J12" s="5" t="str">
        <f t="shared" si="2"/>
        <v/>
      </c>
      <c r="K12" s="7" t="str">
        <f t="shared" si="3"/>
        <v/>
      </c>
      <c r="L12" s="8"/>
      <c r="M12" s="7"/>
    </row>
    <row r="13">
      <c r="A13" s="5"/>
      <c r="B13" s="6"/>
      <c r="C13" s="6"/>
      <c r="D13" s="6"/>
      <c r="E13" s="6"/>
      <c r="F13" s="6"/>
      <c r="G13" s="5"/>
      <c r="H13" s="5"/>
      <c r="I13" s="5" t="str">
        <f t="shared" si="1"/>
        <v/>
      </c>
      <c r="J13" s="5" t="str">
        <f t="shared" si="2"/>
        <v/>
      </c>
      <c r="K13" s="5" t="str">
        <f t="shared" si="3"/>
        <v/>
      </c>
      <c r="L13" s="6"/>
      <c r="M13" s="5"/>
    </row>
    <row r="14">
      <c r="A14" s="7"/>
      <c r="B14" s="8"/>
      <c r="C14" s="8"/>
      <c r="D14" s="8"/>
      <c r="E14" s="8"/>
      <c r="F14" s="8"/>
      <c r="G14" s="7"/>
      <c r="H14" s="7"/>
      <c r="I14" s="7" t="str">
        <f t="shared" si="1"/>
        <v/>
      </c>
      <c r="J14" s="5" t="str">
        <f t="shared" si="2"/>
        <v/>
      </c>
      <c r="K14" s="7" t="str">
        <f t="shared" si="3"/>
        <v/>
      </c>
      <c r="L14" s="8"/>
      <c r="M14" s="7"/>
    </row>
    <row r="15">
      <c r="A15" s="5"/>
      <c r="B15" s="6"/>
      <c r="C15" s="6"/>
      <c r="D15" s="6"/>
      <c r="E15" s="6"/>
      <c r="F15" s="6"/>
      <c r="G15" s="5"/>
      <c r="H15" s="5"/>
      <c r="I15" s="5" t="str">
        <f t="shared" si="1"/>
        <v/>
      </c>
      <c r="J15" s="5" t="str">
        <f t="shared" si="2"/>
        <v/>
      </c>
      <c r="K15" s="5" t="str">
        <f t="shared" si="3"/>
        <v/>
      </c>
      <c r="L15" s="6"/>
      <c r="M15" s="5"/>
    </row>
    <row r="16">
      <c r="A16" s="7"/>
      <c r="B16" s="8"/>
      <c r="C16" s="8"/>
      <c r="D16" s="8"/>
      <c r="E16" s="8"/>
      <c r="F16" s="8"/>
      <c r="G16" s="7"/>
      <c r="H16" s="7"/>
      <c r="I16" s="7" t="str">
        <f t="shared" si="1"/>
        <v/>
      </c>
      <c r="J16" s="5" t="str">
        <f t="shared" si="2"/>
        <v/>
      </c>
      <c r="K16" s="7" t="str">
        <f t="shared" si="3"/>
        <v/>
      </c>
      <c r="L16" s="8"/>
      <c r="M16" s="7"/>
    </row>
    <row r="17">
      <c r="A17" s="5"/>
      <c r="B17" s="6"/>
      <c r="C17" s="6"/>
      <c r="D17" s="6"/>
      <c r="E17" s="6"/>
      <c r="F17" s="6"/>
      <c r="G17" s="5"/>
      <c r="H17" s="5"/>
      <c r="I17" s="5" t="str">
        <f t="shared" si="1"/>
        <v/>
      </c>
      <c r="J17" s="5" t="str">
        <f t="shared" si="2"/>
        <v/>
      </c>
      <c r="K17" s="5" t="str">
        <f t="shared" si="3"/>
        <v/>
      </c>
      <c r="L17" s="6"/>
      <c r="M17" s="5"/>
    </row>
    <row r="18">
      <c r="A18" s="7"/>
      <c r="B18" s="8"/>
      <c r="C18" s="8"/>
      <c r="D18" s="8"/>
      <c r="E18" s="8"/>
      <c r="F18" s="8"/>
      <c r="G18" s="7"/>
      <c r="H18" s="7"/>
      <c r="I18" s="7" t="str">
        <f t="shared" si="1"/>
        <v/>
      </c>
      <c r="J18" s="5" t="str">
        <f t="shared" si="2"/>
        <v/>
      </c>
      <c r="K18" s="7" t="str">
        <f t="shared" si="3"/>
        <v/>
      </c>
      <c r="L18" s="8"/>
      <c r="M18" s="7"/>
    </row>
    <row r="19">
      <c r="A19" s="5"/>
      <c r="B19" s="6"/>
      <c r="C19" s="6"/>
      <c r="D19" s="6"/>
      <c r="E19" s="6"/>
      <c r="F19" s="6"/>
      <c r="G19" s="5"/>
      <c r="H19" s="5"/>
      <c r="I19" s="5" t="str">
        <f t="shared" si="1"/>
        <v/>
      </c>
      <c r="J19" s="5" t="str">
        <f t="shared" si="2"/>
        <v/>
      </c>
      <c r="K19" s="5" t="str">
        <f t="shared" si="3"/>
        <v/>
      </c>
      <c r="L19" s="6"/>
      <c r="M19" s="5"/>
    </row>
    <row r="20">
      <c r="A20" s="7"/>
      <c r="B20" s="8"/>
      <c r="C20" s="8"/>
      <c r="D20" s="8"/>
      <c r="E20" s="8"/>
      <c r="F20" s="8"/>
      <c r="G20" s="7"/>
      <c r="H20" s="7"/>
      <c r="I20" s="7" t="str">
        <f t="shared" si="1"/>
        <v/>
      </c>
      <c r="J20" s="5" t="str">
        <f t="shared" si="2"/>
        <v/>
      </c>
      <c r="K20" s="7" t="str">
        <f t="shared" si="3"/>
        <v/>
      </c>
      <c r="L20" s="8"/>
      <c r="M20" s="7"/>
    </row>
    <row r="21" ht="15.75" customHeight="1">
      <c r="A21" s="5"/>
      <c r="B21" s="6"/>
      <c r="C21" s="6"/>
      <c r="D21" s="6"/>
      <c r="E21" s="6"/>
      <c r="F21" s="6"/>
      <c r="G21" s="5"/>
      <c r="H21" s="5"/>
      <c r="I21" s="5" t="str">
        <f t="shared" si="1"/>
        <v/>
      </c>
      <c r="J21" s="5" t="str">
        <f t="shared" si="2"/>
        <v/>
      </c>
      <c r="K21" s="5" t="str">
        <f t="shared" si="3"/>
        <v/>
      </c>
      <c r="L21" s="6"/>
      <c r="M21" s="5"/>
    </row>
    <row r="22" ht="15.75" customHeight="1">
      <c r="A22" s="7"/>
      <c r="B22" s="8"/>
      <c r="C22" s="8"/>
      <c r="D22" s="8"/>
      <c r="E22" s="8"/>
      <c r="F22" s="8"/>
      <c r="G22" s="7"/>
      <c r="H22" s="7"/>
      <c r="I22" s="7" t="str">
        <f t="shared" si="1"/>
        <v/>
      </c>
      <c r="J22" s="5" t="str">
        <f t="shared" si="2"/>
        <v/>
      </c>
      <c r="K22" s="7" t="str">
        <f t="shared" si="3"/>
        <v/>
      </c>
      <c r="L22" s="8"/>
      <c r="M22" s="7"/>
    </row>
    <row r="23" ht="15.75" customHeight="1"/>
    <row r="24" ht="30.0" customHeight="1">
      <c r="B24" s="9" t="s">
        <v>22</v>
      </c>
    </row>
    <row r="25" ht="15.75" customHeight="1"/>
    <row r="26" ht="18.75" customHeight="1">
      <c r="A26" s="10" t="s">
        <v>23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M1"/>
    <mergeCell ref="B24:M24"/>
    <mergeCell ref="A26:F26"/>
  </mergeCells>
  <conditionalFormatting sqref="J3:J22">
    <cfRule type="cellIs" dxfId="0" priority="1" operator="equal">
      <formula>"Crítico"</formula>
    </cfRule>
  </conditionalFormatting>
  <conditionalFormatting sqref="J3:J22">
    <cfRule type="cellIs" dxfId="1" priority="2" operator="equal">
      <formula>"Alto"</formula>
    </cfRule>
  </conditionalFormatting>
  <conditionalFormatting sqref="J3:J22">
    <cfRule type="cellIs" dxfId="2" priority="3" operator="equal">
      <formula>"Médio"</formula>
    </cfRule>
  </conditionalFormatting>
  <conditionalFormatting sqref="J3:J22">
    <cfRule type="cellIs" dxfId="3" priority="4" operator="equal">
      <formula>"Baixo"</formula>
    </cfRule>
  </conditionalFormatting>
  <dataValidations>
    <dataValidation type="decimal" allowBlank="1" sqref="G3:H22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4.0"/>
    <col customWidth="1" min="7" max="11" width="8.71"/>
  </cols>
  <sheetData>
    <row r="1" ht="30.0" customHeight="1">
      <c r="A1" s="1" t="s">
        <v>24</v>
      </c>
      <c r="B1" s="2"/>
      <c r="C1" s="2"/>
      <c r="D1" s="2"/>
      <c r="E1" s="2"/>
      <c r="F1" s="2"/>
      <c r="G1" s="3"/>
    </row>
    <row r="3" ht="30.0" customHeight="1">
      <c r="A3" s="11" t="s">
        <v>25</v>
      </c>
      <c r="B3" s="11" t="s">
        <v>26</v>
      </c>
      <c r="C3" s="11" t="s">
        <v>27</v>
      </c>
      <c r="D3" s="11" t="s">
        <v>28</v>
      </c>
      <c r="E3" s="11" t="s">
        <v>29</v>
      </c>
      <c r="F3" s="11" t="s">
        <v>30</v>
      </c>
    </row>
    <row r="4" ht="30.0" customHeight="1">
      <c r="A4" s="11" t="s">
        <v>31</v>
      </c>
      <c r="B4" s="12">
        <v>5.0</v>
      </c>
      <c r="C4" s="13">
        <v>10.0</v>
      </c>
      <c r="D4" s="14">
        <v>15.0</v>
      </c>
      <c r="E4" s="15">
        <v>20.0</v>
      </c>
      <c r="F4" s="15">
        <v>25.0</v>
      </c>
    </row>
    <row r="5" ht="30.0" customHeight="1">
      <c r="A5" s="11" t="s">
        <v>32</v>
      </c>
      <c r="B5" s="12">
        <v>4.0</v>
      </c>
      <c r="C5" s="13">
        <v>8.0</v>
      </c>
      <c r="D5" s="14">
        <v>12.0</v>
      </c>
      <c r="E5" s="14">
        <v>16.0</v>
      </c>
      <c r="F5" s="15">
        <v>20.0</v>
      </c>
    </row>
    <row r="6" ht="30.0" customHeight="1">
      <c r="A6" s="11" t="s">
        <v>33</v>
      </c>
      <c r="B6" s="12">
        <v>3.0</v>
      </c>
      <c r="C6" s="13">
        <v>6.0</v>
      </c>
      <c r="D6" s="13">
        <v>9.0</v>
      </c>
      <c r="E6" s="14">
        <v>12.0</v>
      </c>
      <c r="F6" s="14">
        <v>15.0</v>
      </c>
    </row>
    <row r="7" ht="30.0" customHeight="1">
      <c r="A7" s="11" t="s">
        <v>34</v>
      </c>
      <c r="B7" s="12">
        <v>2.0</v>
      </c>
      <c r="C7" s="12">
        <v>4.0</v>
      </c>
      <c r="D7" s="13">
        <v>6.0</v>
      </c>
      <c r="E7" s="13">
        <v>8.0</v>
      </c>
      <c r="F7" s="13">
        <v>10.0</v>
      </c>
    </row>
    <row r="8" ht="30.0" customHeight="1">
      <c r="A8" s="11" t="s">
        <v>35</v>
      </c>
      <c r="B8" s="12">
        <v>1.0</v>
      </c>
      <c r="C8" s="12">
        <v>2.0</v>
      </c>
      <c r="D8" s="12">
        <v>3.0</v>
      </c>
      <c r="E8" s="12">
        <v>4.0</v>
      </c>
      <c r="F8" s="12">
        <v>5.0</v>
      </c>
    </row>
    <row r="11">
      <c r="A11" s="16" t="s">
        <v>36</v>
      </c>
    </row>
    <row r="12">
      <c r="A12" s="17" t="s">
        <v>37</v>
      </c>
      <c r="B12" s="18" t="s">
        <v>38</v>
      </c>
    </row>
    <row r="13">
      <c r="A13" s="19" t="s">
        <v>39</v>
      </c>
      <c r="B13" s="18" t="s">
        <v>40</v>
      </c>
    </row>
    <row r="14">
      <c r="A14" s="20" t="s">
        <v>41</v>
      </c>
      <c r="B14" s="18" t="s">
        <v>42</v>
      </c>
    </row>
    <row r="15">
      <c r="A15" s="21" t="s">
        <v>43</v>
      </c>
      <c r="B15" s="18" t="s">
        <v>44</v>
      </c>
    </row>
    <row r="17" ht="18.75" customHeight="1">
      <c r="A17" s="10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7:F17"/>
    <mergeCell ref="A1:G1"/>
    <mergeCell ref="B12:F12"/>
    <mergeCell ref="B13:F13"/>
    <mergeCell ref="B14:F14"/>
    <mergeCell ref="B15:F1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3" width="26.0"/>
    <col customWidth="1" min="4" max="4" width="22.0"/>
    <col customWidth="1" min="5" max="11" width="8.71"/>
  </cols>
  <sheetData>
    <row r="1" ht="30.0" customHeight="1">
      <c r="A1" s="1" t="s">
        <v>45</v>
      </c>
      <c r="B1" s="2"/>
      <c r="C1" s="2"/>
      <c r="D1" s="3"/>
    </row>
    <row r="3">
      <c r="A3" s="22" t="s">
        <v>46</v>
      </c>
    </row>
    <row r="4">
      <c r="A4" s="23" t="s">
        <v>47</v>
      </c>
      <c r="B4" s="23" t="s">
        <v>48</v>
      </c>
      <c r="C4" s="23" t="s">
        <v>49</v>
      </c>
    </row>
    <row r="5">
      <c r="A5" s="5">
        <v>1.0</v>
      </c>
      <c r="B5" s="6" t="s">
        <v>50</v>
      </c>
      <c r="C5" s="6" t="s">
        <v>51</v>
      </c>
    </row>
    <row r="6">
      <c r="A6" s="5">
        <v>2.0</v>
      </c>
      <c r="B6" s="6" t="s">
        <v>52</v>
      </c>
      <c r="C6" s="6" t="s">
        <v>53</v>
      </c>
    </row>
    <row r="7">
      <c r="A7" s="5">
        <v>3.0</v>
      </c>
      <c r="B7" s="6" t="s">
        <v>54</v>
      </c>
      <c r="C7" s="6" t="s">
        <v>55</v>
      </c>
    </row>
    <row r="8">
      <c r="A8" s="5">
        <v>4.0</v>
      </c>
      <c r="B8" s="6" t="s">
        <v>56</v>
      </c>
      <c r="C8" s="6" t="s">
        <v>57</v>
      </c>
    </row>
    <row r="9">
      <c r="A9" s="5">
        <v>5.0</v>
      </c>
      <c r="B9" s="6" t="s">
        <v>58</v>
      </c>
      <c r="C9" s="6" t="s">
        <v>59</v>
      </c>
    </row>
    <row r="12">
      <c r="A12" s="22" t="s">
        <v>60</v>
      </c>
    </row>
    <row r="13">
      <c r="A13" s="23" t="s">
        <v>47</v>
      </c>
      <c r="B13" s="23" t="s">
        <v>48</v>
      </c>
      <c r="C13" s="23" t="s">
        <v>61</v>
      </c>
    </row>
    <row r="14">
      <c r="A14" s="5">
        <v>1.0</v>
      </c>
      <c r="B14" s="6" t="s">
        <v>62</v>
      </c>
      <c r="C14" s="6" t="s">
        <v>63</v>
      </c>
    </row>
    <row r="15">
      <c r="A15" s="5">
        <v>2.0</v>
      </c>
      <c r="B15" s="6" t="s">
        <v>64</v>
      </c>
      <c r="C15" s="6" t="s">
        <v>65</v>
      </c>
    </row>
    <row r="16">
      <c r="A16" s="5">
        <v>3.0</v>
      </c>
      <c r="B16" s="6" t="s">
        <v>66</v>
      </c>
      <c r="C16" s="6" t="s">
        <v>67</v>
      </c>
    </row>
    <row r="17">
      <c r="A17" s="5">
        <v>4.0</v>
      </c>
      <c r="B17" s="6" t="s">
        <v>68</v>
      </c>
      <c r="C17" s="6" t="s">
        <v>69</v>
      </c>
    </row>
    <row r="18">
      <c r="A18" s="5">
        <v>5.0</v>
      </c>
      <c r="B18" s="6" t="s">
        <v>70</v>
      </c>
      <c r="C18" s="6" t="s">
        <v>71</v>
      </c>
    </row>
    <row r="21" ht="15.75" customHeight="1">
      <c r="A21" s="22" t="s">
        <v>72</v>
      </c>
    </row>
    <row r="22" ht="15.75" customHeight="1">
      <c r="A22" s="23" t="s">
        <v>73</v>
      </c>
      <c r="B22" s="23" t="s">
        <v>10</v>
      </c>
      <c r="C22" s="23" t="s">
        <v>74</v>
      </c>
    </row>
    <row r="23" ht="15.75" customHeight="1">
      <c r="A23" s="5" t="s">
        <v>75</v>
      </c>
      <c r="B23" s="6" t="s">
        <v>76</v>
      </c>
      <c r="C23" s="6" t="s">
        <v>38</v>
      </c>
    </row>
    <row r="24" ht="15.75" customHeight="1">
      <c r="A24" s="5" t="s">
        <v>77</v>
      </c>
      <c r="B24" s="6" t="s">
        <v>78</v>
      </c>
      <c r="C24" s="6" t="s">
        <v>40</v>
      </c>
    </row>
    <row r="25" ht="15.75" customHeight="1">
      <c r="A25" s="5" t="s">
        <v>79</v>
      </c>
      <c r="B25" s="6" t="s">
        <v>80</v>
      </c>
      <c r="C25" s="6" t="s">
        <v>42</v>
      </c>
    </row>
    <row r="26" ht="15.75" customHeight="1">
      <c r="A26" s="5" t="s">
        <v>81</v>
      </c>
      <c r="B26" s="6" t="s">
        <v>82</v>
      </c>
      <c r="C26" s="6" t="s">
        <v>83</v>
      </c>
    </row>
    <row r="27" ht="15.75" customHeight="1"/>
    <row r="28" ht="15.75" customHeight="1"/>
    <row r="29" ht="15.75" customHeight="1">
      <c r="A29" s="22" t="s">
        <v>84</v>
      </c>
    </row>
    <row r="30" ht="15.0" customHeight="1">
      <c r="A30" s="24" t="s">
        <v>85</v>
      </c>
      <c r="B30" s="25" t="s">
        <v>86</v>
      </c>
      <c r="C30" s="26"/>
      <c r="D30" s="27"/>
    </row>
    <row r="31" ht="15.0" customHeight="1">
      <c r="A31" s="24" t="s">
        <v>87</v>
      </c>
      <c r="B31" s="25" t="s">
        <v>88</v>
      </c>
      <c r="C31" s="26"/>
      <c r="D31" s="27"/>
    </row>
    <row r="32" ht="15.0" customHeight="1">
      <c r="A32" s="24" t="s">
        <v>89</v>
      </c>
      <c r="B32" s="25" t="s">
        <v>90</v>
      </c>
      <c r="C32" s="26"/>
      <c r="D32" s="27"/>
    </row>
    <row r="33" ht="15.0" customHeight="1">
      <c r="A33" s="24" t="s">
        <v>91</v>
      </c>
      <c r="B33" s="25" t="s">
        <v>92</v>
      </c>
      <c r="C33" s="26"/>
      <c r="D33" s="27"/>
    </row>
    <row r="34" ht="15.75" customHeight="1">
      <c r="A34" s="24" t="s">
        <v>93</v>
      </c>
      <c r="B34" s="25"/>
      <c r="C34" s="26"/>
      <c r="D34" s="27"/>
    </row>
    <row r="35" ht="15.75" customHeight="1">
      <c r="A35" s="24" t="s">
        <v>94</v>
      </c>
      <c r="B35" s="25"/>
      <c r="C35" s="26"/>
      <c r="D35" s="27"/>
    </row>
    <row r="36" ht="15.75" customHeight="1"/>
    <row r="37" ht="18.75" customHeight="1">
      <c r="A37" s="10" t="s">
        <v>23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B34:D34"/>
    <mergeCell ref="B35:D35"/>
    <mergeCell ref="A37:D37"/>
    <mergeCell ref="A1:D1"/>
    <mergeCell ref="B30:D30"/>
    <mergeCell ref="B31:D31"/>
    <mergeCell ref="B32:D32"/>
    <mergeCell ref="B33:D33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2026-06-17T23:32:14Z</dcterms:created>
  <dc:creator>openpyxl</dc:creator>
  <dc:description/>
  <cp:keywords/>
  <cp:lastModifiedBy>Guilherme Trucollo Ebling</cp:lastModifiedBy>
  <dcterms:modified xsi:type="dcterms:W3CDTF">2026-06-23T13:05:20Z</dcterms:modified>
  <cp:revision>0</cp:revision>
  <dc:subject/>
  <dc:title/>
</cp:coreProperties>
</file>